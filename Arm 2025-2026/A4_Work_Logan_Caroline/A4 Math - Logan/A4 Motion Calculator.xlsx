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5dc8ba30cf2fbc/Desktop/A4 Math - Logan/"/>
    </mc:Choice>
  </mc:AlternateContent>
  <xr:revisionPtr revIDLastSave="44" documentId="8_{6EC53463-01AF-4059-A1AB-62271A11B530}" xr6:coauthVersionLast="47" xr6:coauthVersionMax="47" xr10:uidLastSave="{021FFDE5-BD60-4912-A46A-828DB4BE7FF6}"/>
  <bookViews>
    <workbookView xWindow="-120" yWindow="-120" windowWidth="38640" windowHeight="21840" xr2:uid="{1B460F3A-E1AE-498D-ABD1-B194DE0F3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1" l="1"/>
  <c r="C8" i="1"/>
  <c r="C4" i="1"/>
  <c r="C10" i="1" l="1"/>
</calcChain>
</file>

<file path=xl/sharedStrings.xml><?xml version="1.0" encoding="utf-8"?>
<sst xmlns="http://schemas.openxmlformats.org/spreadsheetml/2006/main" count="13" uniqueCount="11">
  <si>
    <t>Motor Torque / Torque on Rotor (T_r)</t>
  </si>
  <si>
    <t>Nm</t>
  </si>
  <si>
    <t>Rotor Moment of Inertia (J_r)</t>
  </si>
  <si>
    <t>kg*m^2</t>
  </si>
  <si>
    <t>Gearbox Gear Ratio</t>
  </si>
  <si>
    <t>Ring Gear Gear Ratio</t>
  </si>
  <si>
    <t>Maximum Continous Angular Acceleration WITH RING GEAR:</t>
  </si>
  <si>
    <t>Maximum Continous Angular Acceleration WITHOUT RING GEAR:</t>
  </si>
  <si>
    <t>rad/s^2</t>
  </si>
  <si>
    <t>Total Gear Ratio N</t>
  </si>
  <si>
    <r>
      <t>Load Moment of Inertia (J_L)</t>
    </r>
    <r>
      <rPr>
        <b/>
        <sz val="11"/>
        <color theme="8" tint="0.59999389629810485"/>
        <rFont val="Aptos Narrow"/>
        <family val="2"/>
        <scheme val="minor"/>
      </rPr>
      <t xml:space="preserve"> </t>
    </r>
    <r>
      <rPr>
        <b/>
        <sz val="11"/>
        <color theme="8" tint="-0.249977111117893"/>
        <rFont val="Aptos Narrow"/>
        <family val="2"/>
        <scheme val="minor"/>
      </rPr>
      <t>(WITH LARGE LOAD)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</si>
</sst>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8" tint="0.59999389629810485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4735-1989-4BE0-B152-3E518C2C4E07}">
  <dimension ref="B2:H11"/>
  <sheetViews>
    <sheetView tabSelected="1" zoomScale="145" zoomScaleNormal="145" workbookViewId="0">
      <selection activeCell="C18" sqref="C18"/>
    </sheetView>
  </sheetViews>
  <sheetFormatPr defaultRowHeight="15" x14ac:dyDescent="0.25"/>
  <cols>
    <col min="2" max="2" width="57.5703125" customWidth="1"/>
    <col min="3" max="3" width="25.140625" customWidth="1"/>
    <col min="5" max="5" width="17.5703125" customWidth="1"/>
  </cols>
  <sheetData>
    <row r="2" spans="2:8" x14ac:dyDescent="0.25">
      <c r="B2" t="s">
        <v>0</v>
      </c>
      <c r="C2">
        <v>5.7099999999999998E-2</v>
      </c>
      <c r="D2" s="1" t="s">
        <v>1</v>
      </c>
    </row>
    <row r="3" spans="2:8" x14ac:dyDescent="0.25">
      <c r="B3" t="s">
        <v>10</v>
      </c>
      <c r="C3" s="2">
        <v>1.3</v>
      </c>
      <c r="D3" s="1" t="s">
        <v>3</v>
      </c>
      <c r="E3" s="1"/>
      <c r="G3" s="1"/>
      <c r="H3" s="2">
        <v>1.486875602927E-2</v>
      </c>
    </row>
    <row r="4" spans="2:8" x14ac:dyDescent="0.25">
      <c r="B4" t="s">
        <v>2</v>
      </c>
      <c r="C4">
        <f>9.25*10^(-6)</f>
        <v>9.2499999999999995E-6</v>
      </c>
      <c r="D4" s="1" t="s">
        <v>3</v>
      </c>
    </row>
    <row r="5" spans="2:8" x14ac:dyDescent="0.25">
      <c r="D5" s="1"/>
    </row>
    <row r="6" spans="2:8" x14ac:dyDescent="0.25">
      <c r="B6" t="s">
        <v>4</v>
      </c>
      <c r="C6" s="2">
        <v>190</v>
      </c>
      <c r="D6" s="1"/>
    </row>
    <row r="7" spans="2:8" x14ac:dyDescent="0.25">
      <c r="B7" t="s">
        <v>5</v>
      </c>
      <c r="C7">
        <v>2</v>
      </c>
      <c r="D7" s="1"/>
    </row>
    <row r="8" spans="2:8" x14ac:dyDescent="0.25">
      <c r="B8" t="s">
        <v>9</v>
      </c>
      <c r="C8">
        <f>C6*C7</f>
        <v>380</v>
      </c>
      <c r="D8" s="1"/>
    </row>
    <row r="9" spans="2:8" x14ac:dyDescent="0.25">
      <c r="D9" s="1"/>
    </row>
    <row r="10" spans="2:8" x14ac:dyDescent="0.25">
      <c r="B10" s="3" t="s">
        <v>6</v>
      </c>
      <c r="C10" s="3">
        <f>(C8*C2)/(C8^2*C4+C3)</f>
        <v>8.2323481428083625</v>
      </c>
      <c r="D10" s="4" t="s">
        <v>8</v>
      </c>
    </row>
    <row r="11" spans="2:8" x14ac:dyDescent="0.25">
      <c r="B11" s="3" t="s">
        <v>7</v>
      </c>
      <c r="C11" s="3">
        <f>(C6*C2)/(C6^2*C4+C3)</f>
        <v>6.6398396499227319</v>
      </c>
      <c r="D11" s="4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Joslin</dc:creator>
  <cp:lastModifiedBy>Logan Joslin</cp:lastModifiedBy>
  <dcterms:created xsi:type="dcterms:W3CDTF">2026-08-29T06:40:43Z</dcterms:created>
  <dcterms:modified xsi:type="dcterms:W3CDTF">2026-08-31T01:10:27Z</dcterms:modified>
</cp:coreProperties>
</file>